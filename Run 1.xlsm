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gcoo\Dropbox\DEV\MODS\moreHUD\SKSE64\skse64\moreHUD\"/>
    </mc:Choice>
  </mc:AlternateContent>
  <bookViews>
    <workbookView xWindow="0" yWindow="0" windowWidth="21570" windowHeight="7965" activeTab="1"/>
  </bookViews>
  <sheets>
    <sheet name="Run1" sheetId="1" r:id="rId1"/>
    <sheet name="Sheet1" sheetId="2" r:id="rId2"/>
  </sheets>
  <functionGroups builtInGroupCount="19"/>
  <calcPr calcId="0"/>
</workbook>
</file>

<file path=xl/calcChain.xml><?xml version="1.0" encoding="utf-8"?>
<calcChain xmlns="http://schemas.openxmlformats.org/spreadsheetml/2006/main">
  <c r="D3" i="2" l="1"/>
  <c r="D7" i="2"/>
  <c r="D11" i="2"/>
  <c r="D15" i="2"/>
  <c r="D19" i="2"/>
  <c r="D23" i="2"/>
  <c r="D27" i="2"/>
  <c r="D31" i="2"/>
  <c r="D4" i="2"/>
  <c r="D8" i="2"/>
  <c r="D12" i="2"/>
  <c r="D16" i="2"/>
  <c r="D20" i="2"/>
  <c r="D24" i="2"/>
  <c r="D28" i="2"/>
  <c r="D32" i="2"/>
  <c r="D5" i="2"/>
  <c r="D9" i="2"/>
  <c r="D13" i="2"/>
  <c r="D17" i="2"/>
  <c r="D21" i="2"/>
  <c r="D25" i="2"/>
  <c r="D33" i="2"/>
  <c r="D6" i="2"/>
  <c r="D10" i="2"/>
  <c r="D14" i="2"/>
  <c r="D22" i="2"/>
  <c r="D30" i="2"/>
  <c r="D29" i="2"/>
  <c r="D18" i="2"/>
  <c r="D26" i="2"/>
  <c r="D34" i="2"/>
  <c r="D2" i="2"/>
  <c r="C3" i="2"/>
  <c r="C7" i="2"/>
  <c r="C11" i="2"/>
  <c r="C15" i="2"/>
  <c r="C19" i="2"/>
  <c r="C23" i="2"/>
  <c r="C27" i="2"/>
  <c r="C31" i="2"/>
  <c r="C4" i="2"/>
  <c r="C8" i="2"/>
  <c r="C12" i="2"/>
  <c r="C16" i="2"/>
  <c r="C20" i="2"/>
  <c r="C24" i="2"/>
  <c r="C28" i="2"/>
  <c r="C32" i="2"/>
  <c r="C5" i="2"/>
  <c r="C9" i="2"/>
  <c r="C13" i="2"/>
  <c r="C17" i="2"/>
  <c r="C21" i="2"/>
  <c r="C25" i="2"/>
  <c r="C29" i="2"/>
  <c r="C33" i="2"/>
  <c r="C6" i="2"/>
  <c r="C10" i="2"/>
  <c r="C14" i="2"/>
  <c r="C18" i="2"/>
  <c r="C22" i="2"/>
  <c r="C26" i="2"/>
  <c r="C30" i="2"/>
  <c r="C34" i="2"/>
  <c r="C2" i="2"/>
  <c r="B3" i="2"/>
  <c r="B7" i="2"/>
  <c r="B11" i="2"/>
  <c r="B15" i="2"/>
  <c r="B19" i="2"/>
  <c r="B23" i="2"/>
  <c r="B27" i="2"/>
  <c r="B31" i="2"/>
  <c r="B10" i="2"/>
  <c r="B22" i="2"/>
  <c r="B34" i="2"/>
  <c r="B4" i="2"/>
  <c r="B8" i="2"/>
  <c r="B12" i="2"/>
  <c r="B16" i="2"/>
  <c r="B20" i="2"/>
  <c r="B24" i="2"/>
  <c r="B28" i="2"/>
  <c r="B32" i="2"/>
  <c r="B14" i="2"/>
  <c r="B26" i="2"/>
  <c r="B5" i="2"/>
  <c r="B9" i="2"/>
  <c r="B13" i="2"/>
  <c r="B17" i="2"/>
  <c r="B21" i="2"/>
  <c r="B25" i="2"/>
  <c r="B29" i="2"/>
  <c r="B33" i="2"/>
  <c r="B6" i="2"/>
  <c r="B18" i="2"/>
  <c r="B30" i="2"/>
  <c r="B2" i="2"/>
</calcChain>
</file>

<file path=xl/sharedStrings.xml><?xml version="1.0" encoding="utf-8"?>
<sst xmlns="http://schemas.openxmlformats.org/spreadsheetml/2006/main" count="105" uniqueCount="101">
  <si>
    <t>Record</t>
  </si>
  <si>
    <t>Record Header\FormID</t>
  </si>
  <si>
    <t>PFIG</t>
  </si>
  <si>
    <t>BYOHHouseIngrdMushroom02 "Bleeding Crown" [TREE:020110C3]</t>
  </si>
  <si>
    <t>BYOHHouseIngredientMushroom02 "Bleeding Crown (3)" [MISC:02000B3F]</t>
  </si>
  <si>
    <t>BYOHHouseIngrdMushroom06 "Blisterwort" [TREE:020110C7]</t>
  </si>
  <si>
    <t>BYOHHouseIngredientMushroom06 "Blisterwort (4)" [MISC:02000B43]</t>
  </si>
  <si>
    <t>BYOHHouseIngrdMtFlBlue01 "Blue Mountain Flower" [TREE:020110BF]</t>
  </si>
  <si>
    <t>BYOHHouseIngredientMountainFlowerBlue "Blue Mountain Flower (3)" [MISC:02000B3B]</t>
  </si>
  <si>
    <t>BYOHHouseFloraCabbage01 "Cabbage" [TREE:0201045E]</t>
  </si>
  <si>
    <t>BYOHHouseFoodCabbage "Cabbage (2)" [MISC:02000B2A]</t>
  </si>
  <si>
    <t>BYOHHouseIngrdCanisRoot01 "Canis Root" [TREE:02010461]</t>
  </si>
  <si>
    <t>BYOHHouseIngredientCanisRoot "Canis Root (4)" [MISC:02000B2F]</t>
  </si>
  <si>
    <t>BYOHHouseFloraCarrots01 "Carrot" [TREE:020110B9]</t>
  </si>
  <si>
    <t>BYOHHouseFoodCarrots "Carrots (4)" [MISC:02000B2B]</t>
  </si>
  <si>
    <t>BYOHHouseIngrdCreepCluster01 "Creep Cluster" [TREE:020110BC]</t>
  </si>
  <si>
    <t>BYOHHouseIngredientCreepCluster "Creep Cluster (5)" [MISC:02000B31]</t>
  </si>
  <si>
    <t>BYOHHouseIngrdDeathbell01 "Deathbell" [TREE:02010462]</t>
  </si>
  <si>
    <t>BYOHHouseIngredientDeathbell "Deathbell (3)" [MISC:02000B32]</t>
  </si>
  <si>
    <t>BYOHHouseIngrdDragonTongue01 "Dragon's Tongue" [TREE:02010463]</t>
  </si>
  <si>
    <t>BYOHHouseIngredientDragonsTongue "Dragon's Tongue (4)" [MISC:02000B33]</t>
  </si>
  <si>
    <t>BYOHHouseIngrdMushroom01 "Fly Amanita" [TREE:020110C2]</t>
  </si>
  <si>
    <t>BYOHHouseIngredientMushroom01 "Fly Amanita (4)" [MISC:02000B3E]</t>
  </si>
  <si>
    <t>BYOHHouseIngrdGiantLichen01 "Giant Lichen" [TREE:02010464]</t>
  </si>
  <si>
    <t>BYOHHouseIngredientGiantLichen "Giant Lichen (4)" [MISC:02000B35]</t>
  </si>
  <si>
    <t>BYOHHouseIngrdGlowMushrm01 "Glowing Mushroom" [TREE:02010465]</t>
  </si>
  <si>
    <t>BYOHHouseIngredientGlowingMushroom "Glowing Mushroom (5)" [MISC:02000B36]</t>
  </si>
  <si>
    <t>BYOHHouseFloraGourd01 "Gourds" [TREE:0201045F]</t>
  </si>
  <si>
    <t>BYOHHouseFoodGourd "Gourd (3)" [MISC:02000B2C]</t>
  </si>
  <si>
    <t>BYOHHouseIngrdMushroom04 "Imp Stool" [TREE:020110C5]</t>
  </si>
  <si>
    <t>BYOHHouseIngredientMushroom04 "Imp Stool (4)" [MISC:02000B41]</t>
  </si>
  <si>
    <t>BYOHHouseIngrdJazbay01 "Jazbay" [TREE:02010466]</t>
  </si>
  <si>
    <t>BYOHHouseIngredientJazbay "Jazbay Grapes (3)" [MISC:02000B37]</t>
  </si>
  <si>
    <t>BYOHHouseIngrdJuniper01 "Juniper" [TREE:02010467]</t>
  </si>
  <si>
    <t>BYOHHouseIngredientJuniperBerries "Juniper Berries (4)" [MISC:02000B38]</t>
  </si>
  <si>
    <t>BYOHHouseIngrdLavender01 "Lavender" [TREE:02010468]</t>
  </si>
  <si>
    <t>BYOHHouseIngredientLavender "Lavender (3)" [MISC:02000B39]</t>
  </si>
  <si>
    <t>BYOHHouseFloraLeek01 "Leek" [TREE:02010460]</t>
  </si>
  <si>
    <t>BYOHHouseFoodLeek "Leek (2)" [MISC:02000B2D]</t>
  </si>
  <si>
    <t>BYOHHouseIngrdMoraTap01 "Mora Tapinella" [TREE:020110BE]</t>
  </si>
  <si>
    <t>BYOHHouseIngredientMoraTapinella "Mora Tapinella (3)" [MISC:02000B3A]</t>
  </si>
  <si>
    <t>BYOHHouseIngrdMushroom05 "Namira's Rot" [TREE:020110C6]</t>
  </si>
  <si>
    <t>BYOHHouseIngredientMushroom05 "Namira's Rot (3)" [MISC:02000B42]</t>
  </si>
  <si>
    <t>BYOHHouseIngrdNightshade01 "Nightshade" [TREE:02010469]</t>
  </si>
  <si>
    <t>BYOHHouseIngredientNightshade "Nightshade (3)" [MISC:02000B44]</t>
  </si>
  <si>
    <t>BYOHHouseIngrdNirnroot01 "Nirnroot" [TREE:020110C8]</t>
  </si>
  <si>
    <t>Nirnroot "Nirnroot" [INGR:00059B86]</t>
  </si>
  <si>
    <t>BYOHHouseFloraPotato01 "Potato" [TREE:020110BA]</t>
  </si>
  <si>
    <t>BYOHHouseFoodPotato "Potato (3)" [MISC:02000B2E]</t>
  </si>
  <si>
    <t>BYOHHouseIngrdMtFlPurple01 "Purple Mountain Flower" [TREE:020110C0]</t>
  </si>
  <si>
    <t>BYOHHouseIngredientMountainFlowerPurple "Purple Mountain Flower (3)" [MISC:02000B3C]</t>
  </si>
  <si>
    <t>BYOHHouseIngrdMtFlRed01 "Red Mountain Flower" [TREE:020110C1]</t>
  </si>
  <si>
    <t>BYOHHouseIngredientMountainFlowerRed "Red Mountain Flower (3)" [MISC:02000B3D]</t>
  </si>
  <si>
    <t>BYOHHouseIngrdScalyPBits01 "Scaly Pholiota" [TREE:020110C9]</t>
  </si>
  <si>
    <t>BYOHHouseIngredientScalyPholiotaBits "Scaly Pholiota (5)" [MISC:02000B45]</t>
  </si>
  <si>
    <t>BYOHHouseIngrdSnowberry01 "Snowberry" [TREE:020110CA]</t>
  </si>
  <si>
    <t>BYOHHouseIngredientSnowberry "Snowberries (4)" [MISC:02000B46]</t>
  </si>
  <si>
    <t>BYOHHouseIngrdSpikyGrass01 "Spiky Grass" [TREE:020110CB]</t>
  </si>
  <si>
    <t>BYOHHouseIngredientSpikyGrass "Grass Pod (3)" [MISC:02000B47]</t>
  </si>
  <si>
    <t>BYOHHouseIngrdFungalPod01 "Swamp Fungal Pod" [TREE:020110BD]</t>
  </si>
  <si>
    <t>BYOHHouseIngredientFungalPod "Swamp Fungal Pod (3)" [MISC:02000B34]</t>
  </si>
  <si>
    <t>BYOHHouseIngrdThistle01 "Thistle" [TREE:020110CC]</t>
  </si>
  <si>
    <t>BYOHHouseIngredientThistle "Thistle Branch (3)" [MISC:02000B48]</t>
  </si>
  <si>
    <t>BYOHHouseIngrdCotton01 "Tundra Cotton" [TREE:020110BB]</t>
  </si>
  <si>
    <t>BYOHHouseIngredientCotton "Tundra Cotton (3)" [MISC:02000B30]</t>
  </si>
  <si>
    <t>BYOHHouseIngrdWheat01 "Wheat" [TREE:020110CD]</t>
  </si>
  <si>
    <t>BYOHHouseIngredientWheat "Wheat (4)" [MISC:02000B49]</t>
  </si>
  <si>
    <t>BYOHHouseIngrdMushroom03 "White Cap" [TREE:020110C4]</t>
  </si>
  <si>
    <t>BYOHHouseIngredientMushroom03 "White Cap (2)" [MISC:02000B40]</t>
  </si>
  <si>
    <t>Mushroom02 "Bleeding Crown" [INGR:0004DA20]</t>
  </si>
  <si>
    <t>Mushroom06 "Blisterwort" [INGR:0004DA25]</t>
  </si>
  <si>
    <t>MountainFlower01Blue "Blue Mountain Flower" [INGR:00077E1C]</t>
  </si>
  <si>
    <t>FoodCabbage "Cabbage" [ALCH:00064B3F]</t>
  </si>
  <si>
    <t>CanisRoot01 "Canis Root" [INGR:0006ABCB]</t>
  </si>
  <si>
    <t>FoodCarrot "Carrot" [ALCH:00064B40]</t>
  </si>
  <si>
    <t>CreepClusterRoot "Creep Cluster" [INGR:000B2183]</t>
  </si>
  <si>
    <t>deathBell "Deathbell" [INGR:000516C8]</t>
  </si>
  <si>
    <t>DragonsTongue "Dragon's Tongue" [INGR:000889A2]</t>
  </si>
  <si>
    <t>Mushroom01 "Fly Amanita" [INGR:0004DA00]</t>
  </si>
  <si>
    <t>GiantLichen "Giant Lichen" [INGR:0007E8C1]</t>
  </si>
  <si>
    <t>GlowingMushroom "Glowing Mushroom" [INGR:0007EE01]</t>
  </si>
  <si>
    <t>FoodGourd "Gourd" [ALCH:0010D666]</t>
  </si>
  <si>
    <t>Mushroom04 "Imp Stool" [INGR:0004DA23]</t>
  </si>
  <si>
    <t>JazBay "Jazbay Grapes" [INGR:0006AC4A]</t>
  </si>
  <si>
    <t>JuniperBerries "Juniper Berries" [INGR:0005076E]</t>
  </si>
  <si>
    <t>Lavender "Lavender" [INGR:00045C28]</t>
  </si>
  <si>
    <t>FoodLeek "Leek" [ALCH:000669A5]</t>
  </si>
  <si>
    <t>MoraTapinellaBits "Mora Tapinella" [INGR:000EC870]</t>
  </si>
  <si>
    <t>Mushroom05 "Namira's Rot" [INGR:0004DA24]</t>
  </si>
  <si>
    <t>Nightshade "Nightshade" [INGR:0002F44C]</t>
  </si>
  <si>
    <t>FoodPotato "Potato" [ALCH:00064B41]</t>
  </si>
  <si>
    <t>MountainFlower01Purple "Purple Mountain Flower" [INGR:00077E1E]</t>
  </si>
  <si>
    <t>MountainFlower01Red "Red Mountain Flower" [INGR:00077E1D]</t>
  </si>
  <si>
    <t>ScalyPholiotaBits "Scaly Pholiota" [INGR:0006F950]</t>
  </si>
  <si>
    <t>Snowberry "Snowberries" [INGR:0001B3BD]</t>
  </si>
  <si>
    <t>SpikyGrass01 "Grass Pod" [INGR:00083E64]</t>
  </si>
  <si>
    <t>SwampFungalPod01 "Swamp Fungal Pod" [INGR:0007E8B7]</t>
  </si>
  <si>
    <t>Thistle01 "Thistle Branch" [INGR:000134AA]</t>
  </si>
  <si>
    <t>TundraCotton "Tundra Cotton" [INGR:0003F7F8]</t>
  </si>
  <si>
    <t>Wheat "Wheat" [INGR:0004B0BA]</t>
  </si>
  <si>
    <t>Mushroom03 "White Cap" [INGR:0004DA22]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</si>
</sst>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4"/>
  <sheetViews>
    <sheetView workbookViewId="0">
      <selection activeCell="B2" sqref="B2"/>
    </sheetView>
  </sheetViews>
  <sheetFormatPr defaultRowHeight="15" x14ac:dyDescent="0.25"/>
  <cols>
    <col min="1" max="1" width="9" bestFit="1" customWidth="1"/>
    <col min="2" max="2" width="68.140625" bestFit="1" customWidth="1"/>
    <col min="3" max="3" width="85.42578125" bestFit="1" customWidth="1"/>
  </cols>
  <sheetData>
    <row r="1" spans="1:4" x14ac:dyDescent="0.25">
      <c r="A1" t="s">
        <v>0</v>
      </c>
      <c r="B1" t="s">
        <v>1</v>
      </c>
      <c r="C1" t="s">
        <v>2</v>
      </c>
    </row>
    <row r="2" spans="1:4" x14ac:dyDescent="0.25">
      <c r="A2">
        <v>33624259</v>
      </c>
      <c r="B2" t="s">
        <v>3</v>
      </c>
      <c r="C2" t="s">
        <v>4</v>
      </c>
      <c r="D2" t="s">
        <v>69</v>
      </c>
    </row>
    <row r="3" spans="1:4" x14ac:dyDescent="0.25">
      <c r="A3">
        <v>33624263</v>
      </c>
      <c r="B3" t="s">
        <v>5</v>
      </c>
      <c r="C3" t="s">
        <v>6</v>
      </c>
      <c r="D3" t="s">
        <v>70</v>
      </c>
    </row>
    <row r="4" spans="1:4" x14ac:dyDescent="0.25">
      <c r="A4">
        <v>33624255</v>
      </c>
      <c r="B4" t="s">
        <v>7</v>
      </c>
      <c r="C4" t="s">
        <v>8</v>
      </c>
      <c r="D4" t="s">
        <v>71</v>
      </c>
    </row>
    <row r="5" spans="1:4" x14ac:dyDescent="0.25">
      <c r="A5">
        <v>33621086</v>
      </c>
      <c r="B5" t="s">
        <v>9</v>
      </c>
      <c r="C5" t="s">
        <v>10</v>
      </c>
      <c r="D5" t="s">
        <v>72</v>
      </c>
    </row>
    <row r="6" spans="1:4" x14ac:dyDescent="0.25">
      <c r="A6">
        <v>33621089</v>
      </c>
      <c r="B6" t="s">
        <v>11</v>
      </c>
      <c r="C6" t="s">
        <v>12</v>
      </c>
      <c r="D6" t="s">
        <v>73</v>
      </c>
    </row>
    <row r="7" spans="1:4" x14ac:dyDescent="0.25">
      <c r="A7">
        <v>33624249</v>
      </c>
      <c r="B7" t="s">
        <v>13</v>
      </c>
      <c r="C7" t="s">
        <v>14</v>
      </c>
      <c r="D7" t="s">
        <v>74</v>
      </c>
    </row>
    <row r="8" spans="1:4" x14ac:dyDescent="0.25">
      <c r="A8">
        <v>33624252</v>
      </c>
      <c r="B8" t="s">
        <v>15</v>
      </c>
      <c r="C8" t="s">
        <v>16</v>
      </c>
      <c r="D8" t="s">
        <v>75</v>
      </c>
    </row>
    <row r="9" spans="1:4" x14ac:dyDescent="0.25">
      <c r="A9">
        <v>33621090</v>
      </c>
      <c r="B9" t="s">
        <v>17</v>
      </c>
      <c r="C9" t="s">
        <v>18</v>
      </c>
      <c r="D9" t="s">
        <v>76</v>
      </c>
    </row>
    <row r="10" spans="1:4" x14ac:dyDescent="0.25">
      <c r="A10">
        <v>33621091</v>
      </c>
      <c r="B10" t="s">
        <v>19</v>
      </c>
      <c r="C10" t="s">
        <v>20</v>
      </c>
      <c r="D10" t="s">
        <v>77</v>
      </c>
    </row>
    <row r="11" spans="1:4" x14ac:dyDescent="0.25">
      <c r="A11">
        <v>33624258</v>
      </c>
      <c r="B11" t="s">
        <v>21</v>
      </c>
      <c r="C11" t="s">
        <v>22</v>
      </c>
      <c r="D11" t="s">
        <v>78</v>
      </c>
    </row>
    <row r="12" spans="1:4" x14ac:dyDescent="0.25">
      <c r="A12">
        <v>33621092</v>
      </c>
      <c r="B12" t="s">
        <v>23</v>
      </c>
      <c r="C12" t="s">
        <v>24</v>
      </c>
      <c r="D12" t="s">
        <v>79</v>
      </c>
    </row>
    <row r="13" spans="1:4" x14ac:dyDescent="0.25">
      <c r="A13">
        <v>33621093</v>
      </c>
      <c r="B13" t="s">
        <v>25</v>
      </c>
      <c r="C13" t="s">
        <v>26</v>
      </c>
      <c r="D13" t="s">
        <v>80</v>
      </c>
    </row>
    <row r="14" spans="1:4" x14ac:dyDescent="0.25">
      <c r="A14">
        <v>33621087</v>
      </c>
      <c r="B14" t="s">
        <v>27</v>
      </c>
      <c r="C14" t="s">
        <v>28</v>
      </c>
      <c r="D14" t="s">
        <v>81</v>
      </c>
    </row>
    <row r="15" spans="1:4" x14ac:dyDescent="0.25">
      <c r="A15">
        <v>33624261</v>
      </c>
      <c r="B15" t="s">
        <v>29</v>
      </c>
      <c r="C15" t="s">
        <v>30</v>
      </c>
      <c r="D15" t="s">
        <v>82</v>
      </c>
    </row>
    <row r="16" spans="1:4" x14ac:dyDescent="0.25">
      <c r="A16">
        <v>33621094</v>
      </c>
      <c r="B16" t="s">
        <v>31</v>
      </c>
      <c r="C16" t="s">
        <v>32</v>
      </c>
      <c r="D16" t="s">
        <v>83</v>
      </c>
    </row>
    <row r="17" spans="1:4" x14ac:dyDescent="0.25">
      <c r="A17">
        <v>33621095</v>
      </c>
      <c r="B17" t="s">
        <v>33</v>
      </c>
      <c r="C17" t="s">
        <v>34</v>
      </c>
      <c r="D17" t="s">
        <v>84</v>
      </c>
    </row>
    <row r="18" spans="1:4" x14ac:dyDescent="0.25">
      <c r="A18">
        <v>33621096</v>
      </c>
      <c r="B18" t="s">
        <v>35</v>
      </c>
      <c r="C18" t="s">
        <v>36</v>
      </c>
      <c r="D18" t="s">
        <v>85</v>
      </c>
    </row>
    <row r="19" spans="1:4" x14ac:dyDescent="0.25">
      <c r="A19">
        <v>33621088</v>
      </c>
      <c r="B19" t="s">
        <v>37</v>
      </c>
      <c r="C19" t="s">
        <v>38</v>
      </c>
      <c r="D19" t="s">
        <v>86</v>
      </c>
    </row>
    <row r="20" spans="1:4" x14ac:dyDescent="0.25">
      <c r="A20">
        <v>33624254</v>
      </c>
      <c r="B20" t="s">
        <v>39</v>
      </c>
      <c r="C20" t="s">
        <v>40</v>
      </c>
      <c r="D20" t="s">
        <v>87</v>
      </c>
    </row>
    <row r="21" spans="1:4" x14ac:dyDescent="0.25">
      <c r="A21">
        <v>33624262</v>
      </c>
      <c r="B21" t="s">
        <v>41</v>
      </c>
      <c r="C21" t="s">
        <v>42</v>
      </c>
      <c r="D21" t="s">
        <v>88</v>
      </c>
    </row>
    <row r="22" spans="1:4" x14ac:dyDescent="0.25">
      <c r="A22">
        <v>33621097</v>
      </c>
      <c r="B22" t="s">
        <v>43</v>
      </c>
      <c r="C22" t="s">
        <v>44</v>
      </c>
      <c r="D22" t="s">
        <v>89</v>
      </c>
    </row>
    <row r="23" spans="1:4" x14ac:dyDescent="0.25">
      <c r="A23">
        <v>33624264</v>
      </c>
      <c r="B23" t="s">
        <v>45</v>
      </c>
      <c r="C23" t="s">
        <v>46</v>
      </c>
      <c r="D23" t="s">
        <v>46</v>
      </c>
    </row>
    <row r="24" spans="1:4" x14ac:dyDescent="0.25">
      <c r="A24">
        <v>33624250</v>
      </c>
      <c r="B24" t="s">
        <v>47</v>
      </c>
      <c r="C24" t="s">
        <v>48</v>
      </c>
      <c r="D24" t="s">
        <v>90</v>
      </c>
    </row>
    <row r="25" spans="1:4" x14ac:dyDescent="0.25">
      <c r="A25">
        <v>33624256</v>
      </c>
      <c r="B25" t="s">
        <v>49</v>
      </c>
      <c r="C25" t="s">
        <v>50</v>
      </c>
      <c r="D25" t="s">
        <v>91</v>
      </c>
    </row>
    <row r="26" spans="1:4" x14ac:dyDescent="0.25">
      <c r="A26">
        <v>33624257</v>
      </c>
      <c r="B26" t="s">
        <v>51</v>
      </c>
      <c r="C26" t="s">
        <v>52</v>
      </c>
      <c r="D26" t="s">
        <v>92</v>
      </c>
    </row>
    <row r="27" spans="1:4" x14ac:dyDescent="0.25">
      <c r="A27">
        <v>33624265</v>
      </c>
      <c r="B27" t="s">
        <v>53</v>
      </c>
      <c r="C27" t="s">
        <v>54</v>
      </c>
      <c r="D27" t="s">
        <v>93</v>
      </c>
    </row>
    <row r="28" spans="1:4" x14ac:dyDescent="0.25">
      <c r="A28">
        <v>33624266</v>
      </c>
      <c r="B28" t="s">
        <v>55</v>
      </c>
      <c r="C28" t="s">
        <v>56</v>
      </c>
      <c r="D28" t="s">
        <v>94</v>
      </c>
    </row>
    <row r="29" spans="1:4" x14ac:dyDescent="0.25">
      <c r="A29">
        <v>33624267</v>
      </c>
      <c r="B29" t="s">
        <v>57</v>
      </c>
      <c r="C29" t="s">
        <v>58</v>
      </c>
      <c r="D29" t="s">
        <v>95</v>
      </c>
    </row>
    <row r="30" spans="1:4" x14ac:dyDescent="0.25">
      <c r="A30">
        <v>33624253</v>
      </c>
      <c r="B30" t="s">
        <v>59</v>
      </c>
      <c r="C30" t="s">
        <v>60</v>
      </c>
      <c r="D30" t="s">
        <v>96</v>
      </c>
    </row>
    <row r="31" spans="1:4" x14ac:dyDescent="0.25">
      <c r="A31">
        <v>33624268</v>
      </c>
      <c r="B31" t="s">
        <v>61</v>
      </c>
      <c r="C31" t="s">
        <v>62</v>
      </c>
      <c r="D31" t="s">
        <v>97</v>
      </c>
    </row>
    <row r="32" spans="1:4" x14ac:dyDescent="0.25">
      <c r="A32">
        <v>33624251</v>
      </c>
      <c r="B32" t="s">
        <v>63</v>
      </c>
      <c r="C32" t="s">
        <v>64</v>
      </c>
      <c r="D32" t="s">
        <v>98</v>
      </c>
    </row>
    <row r="33" spans="1:4" x14ac:dyDescent="0.25">
      <c r="A33">
        <v>33624269</v>
      </c>
      <c r="B33" t="s">
        <v>65</v>
      </c>
      <c r="C33" t="s">
        <v>66</v>
      </c>
      <c r="D33" t="s">
        <v>99</v>
      </c>
    </row>
    <row r="34" spans="1:4" x14ac:dyDescent="0.25">
      <c r="A34">
        <v>33624260</v>
      </c>
      <c r="B34" t="s">
        <v>67</v>
      </c>
      <c r="C34" t="s">
        <v>68</v>
      </c>
      <c r="D34" t="s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4"/>
  <sheetViews>
    <sheetView tabSelected="1" workbookViewId="0">
      <selection activeCell="F6" sqref="F6"/>
    </sheetView>
  </sheetViews>
  <sheetFormatPr defaultRowHeight="15" x14ac:dyDescent="0.25"/>
  <cols>
    <col min="2" max="2" width="21.7109375" style="1" bestFit="1" customWidth="1"/>
    <col min="3" max="3" width="11.42578125" bestFit="1" customWidth="1"/>
    <col min="4" max="4" width="11.5703125" bestFit="1" customWidth="1"/>
  </cols>
  <sheetData>
    <row r="1" spans="1:4" x14ac:dyDescent="0.25">
      <c r="A1" t="s">
        <v>0</v>
      </c>
      <c r="B1" s="1" t="s">
        <v>1</v>
      </c>
      <c r="C1" t="s">
        <v>2</v>
      </c>
    </row>
    <row r="2" spans="1:4" x14ac:dyDescent="0.25">
      <c r="A2">
        <v>33624259</v>
      </c>
      <c r="B2" s="1" t="str">
        <f xml:space="preserve"> SUBSTITUTE(RegexExtract(RegexExtract('Run1'!B2, "\[.+\]"), "\:[0-9A-F]+"), ":","0x")</f>
        <v>0x020110C3</v>
      </c>
      <c r="C2" s="1" t="str">
        <f xml:space="preserve"> SUBSTITUTE(RegexExtract(RegexExtract('Run1'!C2, "\[.+\]"), "\:[0-9A-F]+"), ":","0x")</f>
        <v>0x02000B3F</v>
      </c>
      <c r="D2" s="1" t="str">
        <f xml:space="preserve"> SUBSTITUTE(RegexExtract(RegexExtract('Run1'!D2, "\[.+\]"), "\:[0-9A-F]+"), ":","0x")</f>
        <v>0x0004DA20</v>
      </c>
    </row>
    <row r="3" spans="1:4" x14ac:dyDescent="0.25">
      <c r="A3">
        <v>33624263</v>
      </c>
      <c r="B3" s="1" t="str">
        <f xml:space="preserve"> SUBSTITUTE(RegexExtract(RegexExtract('Run1'!B3, "\[.+\]"), "\:[0-9A-F]+"), ":","0x")</f>
        <v>0x020110C7</v>
      </c>
      <c r="C3" s="1" t="str">
        <f xml:space="preserve"> SUBSTITUTE(RegexExtract(RegexExtract('Run1'!C3, "\[.+\]"), "\:[0-9A-F]+"), ":","0x")</f>
        <v>0x02000B43</v>
      </c>
      <c r="D3" s="1" t="str">
        <f xml:space="preserve"> SUBSTITUTE(RegexExtract(RegexExtract('Run1'!D3, "\[.+\]"), "\:[0-9A-F]+"), ":","0x")</f>
        <v>0x0004DA25</v>
      </c>
    </row>
    <row r="4" spans="1:4" x14ac:dyDescent="0.25">
      <c r="A4">
        <v>33624255</v>
      </c>
      <c r="B4" s="1" t="str">
        <f xml:space="preserve"> SUBSTITUTE(RegexExtract(RegexExtract('Run1'!B4, "\[.+\]"), "\:[0-9A-F]+"), ":","0x")</f>
        <v>0x020110BF</v>
      </c>
      <c r="C4" s="1" t="str">
        <f xml:space="preserve"> SUBSTITUTE(RegexExtract(RegexExtract('Run1'!C4, "\[.+\]"), "\:[0-9A-F]+"), ":","0x")</f>
        <v>0x02000B3B</v>
      </c>
      <c r="D4" s="1" t="str">
        <f xml:space="preserve"> SUBSTITUTE(RegexExtract(RegexExtract('Run1'!D4, "\[.+\]"), "\:[0-9A-F]+"), ":","0x")</f>
        <v>0x00077E1C</v>
      </c>
    </row>
    <row r="5" spans="1:4" x14ac:dyDescent="0.25">
      <c r="A5">
        <v>33621086</v>
      </c>
      <c r="B5" s="1" t="str">
        <f xml:space="preserve"> SUBSTITUTE(RegexExtract(RegexExtract('Run1'!B5, "\[.+\]"), "\:[0-9A-F]+"), ":","0x")</f>
        <v>0x0201045E</v>
      </c>
      <c r="C5" s="1" t="str">
        <f xml:space="preserve"> SUBSTITUTE(RegexExtract(RegexExtract('Run1'!C5, "\[.+\]"), "\:[0-9A-F]+"), ":","0x")</f>
        <v>0x02000B2A</v>
      </c>
      <c r="D5" s="1" t="str">
        <f xml:space="preserve"> SUBSTITUTE(RegexExtract(RegexExtract('Run1'!D5, "\[.+\]"), "\:[0-9A-F]+"), ":","0x")</f>
        <v>0x00064B3F</v>
      </c>
    </row>
    <row r="6" spans="1:4" x14ac:dyDescent="0.25">
      <c r="A6">
        <v>33621089</v>
      </c>
      <c r="B6" s="1" t="str">
        <f xml:space="preserve"> SUBSTITUTE(RegexExtract(RegexExtract('Run1'!B6, "\[.+\]"), "\:[0-9A-F]+"), ":","0x")</f>
        <v>0x02010461</v>
      </c>
      <c r="C6" s="1" t="str">
        <f xml:space="preserve"> SUBSTITUTE(RegexExtract(RegexExtract('Run1'!C6, "\[.+\]"), "\:[0-9A-F]+"), ":","0x")</f>
        <v>0x02000B2F</v>
      </c>
      <c r="D6" s="1" t="str">
        <f xml:space="preserve"> SUBSTITUTE(RegexExtract(RegexExtract('Run1'!D6, "\[.+\]"), "\:[0-9A-F]+"), ":","0x")</f>
        <v>0x0006ABCB</v>
      </c>
    </row>
    <row r="7" spans="1:4" x14ac:dyDescent="0.25">
      <c r="A7">
        <v>33624249</v>
      </c>
      <c r="B7" s="1" t="str">
        <f xml:space="preserve"> SUBSTITUTE(RegexExtract(RegexExtract('Run1'!B7, "\[.+\]"), "\:[0-9A-F]+"), ":","0x")</f>
        <v>0x020110B9</v>
      </c>
      <c r="C7" s="1" t="str">
        <f xml:space="preserve"> SUBSTITUTE(RegexExtract(RegexExtract('Run1'!C7, "\[.+\]"), "\:[0-9A-F]+"), ":","0x")</f>
        <v>0x02000B2B</v>
      </c>
      <c r="D7" s="1" t="str">
        <f xml:space="preserve"> SUBSTITUTE(RegexExtract(RegexExtract('Run1'!D7, "\[.+\]"), "\:[0-9A-F]+"), ":","0x")</f>
        <v>0x00064B40</v>
      </c>
    </row>
    <row r="8" spans="1:4" x14ac:dyDescent="0.25">
      <c r="A8">
        <v>33624252</v>
      </c>
      <c r="B8" s="1" t="str">
        <f xml:space="preserve"> SUBSTITUTE(RegexExtract(RegexExtract('Run1'!B8, "\[.+\]"), "\:[0-9A-F]+"), ":","0x")</f>
        <v>0x020110BC</v>
      </c>
      <c r="C8" s="1" t="str">
        <f xml:space="preserve"> SUBSTITUTE(RegexExtract(RegexExtract('Run1'!C8, "\[.+\]"), "\:[0-9A-F]+"), ":","0x")</f>
        <v>0x02000B31</v>
      </c>
      <c r="D8" s="1" t="str">
        <f xml:space="preserve"> SUBSTITUTE(RegexExtract(RegexExtract('Run1'!D8, "\[.+\]"), "\:[0-9A-F]+"), ":","0x")</f>
        <v>0x000B2183</v>
      </c>
    </row>
    <row r="9" spans="1:4" x14ac:dyDescent="0.25">
      <c r="A9">
        <v>33621090</v>
      </c>
      <c r="B9" s="1" t="str">
        <f xml:space="preserve"> SUBSTITUTE(RegexExtract(RegexExtract('Run1'!B9, "\[.+\]"), "\:[0-9A-F]+"), ":","0x")</f>
        <v>0x02010462</v>
      </c>
      <c r="C9" s="1" t="str">
        <f xml:space="preserve"> SUBSTITUTE(RegexExtract(RegexExtract('Run1'!C9, "\[.+\]"), "\:[0-9A-F]+"), ":","0x")</f>
        <v>0x02000B32</v>
      </c>
      <c r="D9" s="1" t="str">
        <f xml:space="preserve"> SUBSTITUTE(RegexExtract(RegexExtract('Run1'!D9, "\[.+\]"), "\:[0-9A-F]+"), ":","0x")</f>
        <v>0x000516C8</v>
      </c>
    </row>
    <row r="10" spans="1:4" x14ac:dyDescent="0.25">
      <c r="A10">
        <v>33621091</v>
      </c>
      <c r="B10" s="1" t="str">
        <f xml:space="preserve"> SUBSTITUTE(RegexExtract(RegexExtract('Run1'!B10, "\[.+\]"), "\:[0-9A-F]+"), ":","0x")</f>
        <v>0x02010463</v>
      </c>
      <c r="C10" s="1" t="str">
        <f xml:space="preserve"> SUBSTITUTE(RegexExtract(RegexExtract('Run1'!C10, "\[.+\]"), "\:[0-9A-F]+"), ":","0x")</f>
        <v>0x02000B33</v>
      </c>
      <c r="D10" s="1" t="str">
        <f xml:space="preserve"> SUBSTITUTE(RegexExtract(RegexExtract('Run1'!D10, "\[.+\]"), "\:[0-9A-F]+"), ":","0x")</f>
        <v>0x000889A2</v>
      </c>
    </row>
    <row r="11" spans="1:4" x14ac:dyDescent="0.25">
      <c r="A11">
        <v>33624258</v>
      </c>
      <c r="B11" s="1" t="str">
        <f xml:space="preserve"> SUBSTITUTE(RegexExtract(RegexExtract('Run1'!B11, "\[.+\]"), "\:[0-9A-F]+"), ":","0x")</f>
        <v>0x020110C2</v>
      </c>
      <c r="C11" s="1" t="str">
        <f xml:space="preserve"> SUBSTITUTE(RegexExtract(RegexExtract('Run1'!C11, "\[.+\]"), "\:[0-9A-F]+"), ":","0x")</f>
        <v>0x02000B3E</v>
      </c>
      <c r="D11" s="1" t="str">
        <f xml:space="preserve"> SUBSTITUTE(RegexExtract(RegexExtract('Run1'!D11, "\[.+\]"), "\:[0-9A-F]+"), ":","0x")</f>
        <v>0x0004DA00</v>
      </c>
    </row>
    <row r="12" spans="1:4" x14ac:dyDescent="0.25">
      <c r="A12">
        <v>33621092</v>
      </c>
      <c r="B12" s="1" t="str">
        <f xml:space="preserve"> SUBSTITUTE(RegexExtract(RegexExtract('Run1'!B12, "\[.+\]"), "\:[0-9A-F]+"), ":","0x")</f>
        <v>0x02010464</v>
      </c>
      <c r="C12" s="1" t="str">
        <f xml:space="preserve"> SUBSTITUTE(RegexExtract(RegexExtract('Run1'!C12, "\[.+\]"), "\:[0-9A-F]+"), ":","0x")</f>
        <v>0x02000B35</v>
      </c>
      <c r="D12" s="1" t="str">
        <f xml:space="preserve"> SUBSTITUTE(RegexExtract(RegexExtract('Run1'!D12, "\[.+\]"), "\:[0-9A-F]+"), ":","0x")</f>
        <v>0x0007E8C1</v>
      </c>
    </row>
    <row r="13" spans="1:4" x14ac:dyDescent="0.25">
      <c r="A13">
        <v>33621093</v>
      </c>
      <c r="B13" s="1" t="str">
        <f xml:space="preserve"> SUBSTITUTE(RegexExtract(RegexExtract('Run1'!B13, "\[.+\]"), "\:[0-9A-F]+"), ":","0x")</f>
        <v>0x02010465</v>
      </c>
      <c r="C13" s="1" t="str">
        <f xml:space="preserve"> SUBSTITUTE(RegexExtract(RegexExtract('Run1'!C13, "\[.+\]"), "\:[0-9A-F]+"), ":","0x")</f>
        <v>0x02000B36</v>
      </c>
      <c r="D13" s="1" t="str">
        <f xml:space="preserve"> SUBSTITUTE(RegexExtract(RegexExtract('Run1'!D13, "\[.+\]"), "\:[0-9A-F]+"), ":","0x")</f>
        <v>0x0007EE01</v>
      </c>
    </row>
    <row r="14" spans="1:4" x14ac:dyDescent="0.25">
      <c r="A14">
        <v>33621087</v>
      </c>
      <c r="B14" s="1" t="str">
        <f xml:space="preserve"> SUBSTITUTE(RegexExtract(RegexExtract('Run1'!B14, "\[.+\]"), "\:[0-9A-F]+"), ":","0x")</f>
        <v>0x0201045F</v>
      </c>
      <c r="C14" s="1" t="str">
        <f xml:space="preserve"> SUBSTITUTE(RegexExtract(RegexExtract('Run1'!C14, "\[.+\]"), "\:[0-9A-F]+"), ":","0x")</f>
        <v>0x02000B2C</v>
      </c>
      <c r="D14" s="1" t="str">
        <f xml:space="preserve"> SUBSTITUTE(RegexExtract(RegexExtract('Run1'!D14, "\[.+\]"), "\:[0-9A-F]+"), ":","0x")</f>
        <v>0x0010D666</v>
      </c>
    </row>
    <row r="15" spans="1:4" x14ac:dyDescent="0.25">
      <c r="A15">
        <v>33624261</v>
      </c>
      <c r="B15" s="1" t="str">
        <f xml:space="preserve"> SUBSTITUTE(RegexExtract(RegexExtract('Run1'!B15, "\[.+\]"), "\:[0-9A-F]+"), ":","0x")</f>
        <v>0x020110C5</v>
      </c>
      <c r="C15" s="1" t="str">
        <f xml:space="preserve"> SUBSTITUTE(RegexExtract(RegexExtract('Run1'!C15, "\[.+\]"), "\:[0-9A-F]+"), ":","0x")</f>
        <v>0x02000B41</v>
      </c>
      <c r="D15" s="1" t="str">
        <f xml:space="preserve"> SUBSTITUTE(RegexExtract(RegexExtract('Run1'!D15, "\[.+\]"), "\:[0-9A-F]+"), ":","0x")</f>
        <v>0x0004DA23</v>
      </c>
    </row>
    <row r="16" spans="1:4" x14ac:dyDescent="0.25">
      <c r="A16">
        <v>33621094</v>
      </c>
      <c r="B16" s="1" t="str">
        <f xml:space="preserve"> SUBSTITUTE(RegexExtract(RegexExtract('Run1'!B16, "\[.+\]"), "\:[0-9A-F]+"), ":","0x")</f>
        <v>0x02010466</v>
      </c>
      <c r="C16" s="1" t="str">
        <f xml:space="preserve"> SUBSTITUTE(RegexExtract(RegexExtract('Run1'!C16, "\[.+\]"), "\:[0-9A-F]+"), ":","0x")</f>
        <v>0x02000B37</v>
      </c>
      <c r="D16" s="1" t="str">
        <f xml:space="preserve"> SUBSTITUTE(RegexExtract(RegexExtract('Run1'!D16, "\[.+\]"), "\:[0-9A-F]+"), ":","0x")</f>
        <v>0x0006AC4A</v>
      </c>
    </row>
    <row r="17" spans="1:4" x14ac:dyDescent="0.25">
      <c r="A17">
        <v>33621095</v>
      </c>
      <c r="B17" s="1" t="str">
        <f xml:space="preserve"> SUBSTITUTE(RegexExtract(RegexExtract('Run1'!B17, "\[.+\]"), "\:[0-9A-F]+"), ":","0x")</f>
        <v>0x02010467</v>
      </c>
      <c r="C17" s="1" t="str">
        <f xml:space="preserve"> SUBSTITUTE(RegexExtract(RegexExtract('Run1'!C17, "\[.+\]"), "\:[0-9A-F]+"), ":","0x")</f>
        <v>0x02000B38</v>
      </c>
      <c r="D17" s="1" t="str">
        <f xml:space="preserve"> SUBSTITUTE(RegexExtract(RegexExtract('Run1'!D17, "\[.+\]"), "\:[0-9A-F]+"), ":","0x")</f>
        <v>0x0005076E</v>
      </c>
    </row>
    <row r="18" spans="1:4" x14ac:dyDescent="0.25">
      <c r="A18">
        <v>33621096</v>
      </c>
      <c r="B18" s="1" t="str">
        <f xml:space="preserve"> SUBSTITUTE(RegexExtract(RegexExtract('Run1'!B18, "\[.+\]"), "\:[0-9A-F]+"), ":","0x")</f>
        <v>0x02010468</v>
      </c>
      <c r="C18" s="1" t="str">
        <f xml:space="preserve"> SUBSTITUTE(RegexExtract(RegexExtract('Run1'!C18, "\[.+\]"), "\:[0-9A-F]+"), ":","0x")</f>
        <v>0x02000B39</v>
      </c>
      <c r="D18" s="1" t="str">
        <f xml:space="preserve"> SUBSTITUTE(RegexExtract(RegexExtract('Run1'!D18, "\[.+\]"), "\:[0-9A-F]+"), ":","0x")</f>
        <v>0x00045C28</v>
      </c>
    </row>
    <row r="19" spans="1:4" x14ac:dyDescent="0.25">
      <c r="A19">
        <v>33621088</v>
      </c>
      <c r="B19" s="1" t="str">
        <f xml:space="preserve"> SUBSTITUTE(RegexExtract(RegexExtract('Run1'!B19, "\[.+\]"), "\:[0-9A-F]+"), ":","0x")</f>
        <v>0x02010460</v>
      </c>
      <c r="C19" s="1" t="str">
        <f xml:space="preserve"> SUBSTITUTE(RegexExtract(RegexExtract('Run1'!C19, "\[.+\]"), "\:[0-9A-F]+"), ":","0x")</f>
        <v>0x02000B2D</v>
      </c>
      <c r="D19" s="1" t="str">
        <f xml:space="preserve"> SUBSTITUTE(RegexExtract(RegexExtract('Run1'!D19, "\[.+\]"), "\:[0-9A-F]+"), ":","0x")</f>
        <v>0x000669A5</v>
      </c>
    </row>
    <row r="20" spans="1:4" x14ac:dyDescent="0.25">
      <c r="A20">
        <v>33624254</v>
      </c>
      <c r="B20" s="1" t="str">
        <f xml:space="preserve"> SUBSTITUTE(RegexExtract(RegexExtract('Run1'!B20, "\[.+\]"), "\:[0-9A-F]+"), ":","0x")</f>
        <v>0x020110BE</v>
      </c>
      <c r="C20" s="1" t="str">
        <f xml:space="preserve"> SUBSTITUTE(RegexExtract(RegexExtract('Run1'!C20, "\[.+\]"), "\:[0-9A-F]+"), ":","0x")</f>
        <v>0x02000B3A</v>
      </c>
      <c r="D20" s="1" t="str">
        <f xml:space="preserve"> SUBSTITUTE(RegexExtract(RegexExtract('Run1'!D20, "\[.+\]"), "\:[0-9A-F]+"), ":","0x")</f>
        <v>0x000EC870</v>
      </c>
    </row>
    <row r="21" spans="1:4" x14ac:dyDescent="0.25">
      <c r="A21">
        <v>33624262</v>
      </c>
      <c r="B21" s="1" t="str">
        <f xml:space="preserve"> SUBSTITUTE(RegexExtract(RegexExtract('Run1'!B21, "\[.+\]"), "\:[0-9A-F]+"), ":","0x")</f>
        <v>0x020110C6</v>
      </c>
      <c r="C21" s="1" t="str">
        <f xml:space="preserve"> SUBSTITUTE(RegexExtract(RegexExtract('Run1'!C21, "\[.+\]"), "\:[0-9A-F]+"), ":","0x")</f>
        <v>0x02000B42</v>
      </c>
      <c r="D21" s="1" t="str">
        <f xml:space="preserve"> SUBSTITUTE(RegexExtract(RegexExtract('Run1'!D21, "\[.+\]"), "\:[0-9A-F]+"), ":","0x")</f>
        <v>0x0004DA24</v>
      </c>
    </row>
    <row r="22" spans="1:4" x14ac:dyDescent="0.25">
      <c r="A22">
        <v>33621097</v>
      </c>
      <c r="B22" s="1" t="str">
        <f xml:space="preserve"> SUBSTITUTE(RegexExtract(RegexExtract('Run1'!B22, "\[.+\]"), "\:[0-9A-F]+"), ":","0x")</f>
        <v>0x02010469</v>
      </c>
      <c r="C22" s="1" t="str">
        <f xml:space="preserve"> SUBSTITUTE(RegexExtract(RegexExtract('Run1'!C22, "\[.+\]"), "\:[0-9A-F]+"), ":","0x")</f>
        <v>0x02000B44</v>
      </c>
      <c r="D22" s="1" t="str">
        <f xml:space="preserve"> SUBSTITUTE(RegexExtract(RegexExtract('Run1'!D22, "\[.+\]"), "\:[0-9A-F]+"), ":","0x")</f>
        <v>0x0002F44C</v>
      </c>
    </row>
    <row r="23" spans="1:4" x14ac:dyDescent="0.25">
      <c r="A23">
        <v>33624264</v>
      </c>
      <c r="B23" s="1" t="str">
        <f xml:space="preserve"> SUBSTITUTE(RegexExtract(RegexExtract('Run1'!B23, "\[.+\]"), "\:[0-9A-F]+"), ":","0x")</f>
        <v>0x020110C8</v>
      </c>
      <c r="C23" s="1" t="str">
        <f xml:space="preserve"> SUBSTITUTE(RegexExtract(RegexExtract('Run1'!C23, "\[.+\]"), "\:[0-9A-F]+"), ":","0x")</f>
        <v>0x00059B86</v>
      </c>
      <c r="D23" s="1" t="str">
        <f xml:space="preserve"> SUBSTITUTE(RegexExtract(RegexExtract('Run1'!D23, "\[.+\]"), "\:[0-9A-F]+"), ":","0x")</f>
        <v>0x00059B86</v>
      </c>
    </row>
    <row r="24" spans="1:4" x14ac:dyDescent="0.25">
      <c r="A24">
        <v>33624250</v>
      </c>
      <c r="B24" s="1" t="str">
        <f xml:space="preserve"> SUBSTITUTE(RegexExtract(RegexExtract('Run1'!B24, "\[.+\]"), "\:[0-9A-F]+"), ":","0x")</f>
        <v>0x020110BA</v>
      </c>
      <c r="C24" s="1" t="str">
        <f xml:space="preserve"> SUBSTITUTE(RegexExtract(RegexExtract('Run1'!C24, "\[.+\]"), "\:[0-9A-F]+"), ":","0x")</f>
        <v>0x02000B2E</v>
      </c>
      <c r="D24" s="1" t="str">
        <f xml:space="preserve"> SUBSTITUTE(RegexExtract(RegexExtract('Run1'!D24, "\[.+\]"), "\:[0-9A-F]+"), ":","0x")</f>
        <v>0x00064B41</v>
      </c>
    </row>
    <row r="25" spans="1:4" x14ac:dyDescent="0.25">
      <c r="A25">
        <v>33624256</v>
      </c>
      <c r="B25" s="1" t="str">
        <f xml:space="preserve"> SUBSTITUTE(RegexExtract(RegexExtract('Run1'!B25, "\[.+\]"), "\:[0-9A-F]+"), ":","0x")</f>
        <v>0x020110C0</v>
      </c>
      <c r="C25" s="1" t="str">
        <f xml:space="preserve"> SUBSTITUTE(RegexExtract(RegexExtract('Run1'!C25, "\[.+\]"), "\:[0-9A-F]+"), ":","0x")</f>
        <v>0x02000B3C</v>
      </c>
      <c r="D25" s="1" t="str">
        <f xml:space="preserve"> SUBSTITUTE(RegexExtract(RegexExtract('Run1'!D25, "\[.+\]"), "\:[0-9A-F]+"), ":","0x")</f>
        <v>0x00077E1E</v>
      </c>
    </row>
    <row r="26" spans="1:4" x14ac:dyDescent="0.25">
      <c r="A26">
        <v>33624257</v>
      </c>
      <c r="B26" s="1" t="str">
        <f xml:space="preserve"> SUBSTITUTE(RegexExtract(RegexExtract('Run1'!B26, "\[.+\]"), "\:[0-9A-F]+"), ":","0x")</f>
        <v>0x020110C1</v>
      </c>
      <c r="C26" s="1" t="str">
        <f xml:space="preserve"> SUBSTITUTE(RegexExtract(RegexExtract('Run1'!C26, "\[.+\]"), "\:[0-9A-F]+"), ":","0x")</f>
        <v>0x02000B3D</v>
      </c>
      <c r="D26" s="1" t="str">
        <f xml:space="preserve"> SUBSTITUTE(RegexExtract(RegexExtract('Run1'!D26, "\[.+\]"), "\:[0-9A-F]+"), ":","0x")</f>
        <v>0x00077E1D</v>
      </c>
    </row>
    <row r="27" spans="1:4" x14ac:dyDescent="0.25">
      <c r="A27">
        <v>33624265</v>
      </c>
      <c r="B27" s="1" t="str">
        <f xml:space="preserve"> SUBSTITUTE(RegexExtract(RegexExtract('Run1'!B27, "\[.+\]"), "\:[0-9A-F]+"), ":","0x")</f>
        <v>0x020110C9</v>
      </c>
      <c r="C27" s="1" t="str">
        <f xml:space="preserve"> SUBSTITUTE(RegexExtract(RegexExtract('Run1'!C27, "\[.+\]"), "\:[0-9A-F]+"), ":","0x")</f>
        <v>0x02000B45</v>
      </c>
      <c r="D27" s="1" t="str">
        <f xml:space="preserve"> SUBSTITUTE(RegexExtract(RegexExtract('Run1'!D27, "\[.+\]"), "\:[0-9A-F]+"), ":","0x")</f>
        <v>0x0006F950</v>
      </c>
    </row>
    <row r="28" spans="1:4" x14ac:dyDescent="0.25">
      <c r="A28">
        <v>33624266</v>
      </c>
      <c r="B28" s="1" t="str">
        <f xml:space="preserve"> SUBSTITUTE(RegexExtract(RegexExtract('Run1'!B28, "\[.+\]"), "\:[0-9A-F]+"), ":","0x")</f>
        <v>0x020110CA</v>
      </c>
      <c r="C28" s="1" t="str">
        <f xml:space="preserve"> SUBSTITUTE(RegexExtract(RegexExtract('Run1'!C28, "\[.+\]"), "\:[0-9A-F]+"), ":","0x")</f>
        <v>0x02000B46</v>
      </c>
      <c r="D28" s="1" t="str">
        <f xml:space="preserve"> SUBSTITUTE(RegexExtract(RegexExtract('Run1'!D28, "\[.+\]"), "\:[0-9A-F]+"), ":","0x")</f>
        <v>0x0001B3BD</v>
      </c>
    </row>
    <row r="29" spans="1:4" x14ac:dyDescent="0.25">
      <c r="A29">
        <v>33624267</v>
      </c>
      <c r="B29" s="1" t="str">
        <f xml:space="preserve"> SUBSTITUTE(RegexExtract(RegexExtract('Run1'!B29, "\[.+\]"), "\:[0-9A-F]+"), ":","0x")</f>
        <v>0x020110CB</v>
      </c>
      <c r="C29" s="1" t="str">
        <f xml:space="preserve"> SUBSTITUTE(RegexExtract(RegexExtract('Run1'!C29, "\[.+\]"), "\:[0-9A-F]+"), ":","0x")</f>
        <v>0x02000B47</v>
      </c>
      <c r="D29" s="1" t="str">
        <f xml:space="preserve"> SUBSTITUTE(RegexExtract(RegexExtract('Run1'!D29, "\[.+\]"), "\:[0-9A-F]+"), ":","0x")</f>
        <v>0x00083E64</v>
      </c>
    </row>
    <row r="30" spans="1:4" x14ac:dyDescent="0.25">
      <c r="A30">
        <v>33624253</v>
      </c>
      <c r="B30" s="1" t="str">
        <f xml:space="preserve"> SUBSTITUTE(RegexExtract(RegexExtract('Run1'!B30, "\[.+\]"), "\:[0-9A-F]+"), ":","0x")</f>
        <v>0x020110BD</v>
      </c>
      <c r="C30" s="1" t="str">
        <f xml:space="preserve"> SUBSTITUTE(RegexExtract(RegexExtract('Run1'!C30, "\[.+\]"), "\:[0-9A-F]+"), ":","0x")</f>
        <v>0x02000B34</v>
      </c>
      <c r="D30" s="1" t="str">
        <f xml:space="preserve"> SUBSTITUTE(RegexExtract(RegexExtract('Run1'!D30, "\[.+\]"), "\:[0-9A-F]+"), ":","0x")</f>
        <v>0x0007E8B7</v>
      </c>
    </row>
    <row r="31" spans="1:4" x14ac:dyDescent="0.25">
      <c r="A31">
        <v>33624268</v>
      </c>
      <c r="B31" s="1" t="str">
        <f xml:space="preserve"> SUBSTITUTE(RegexExtract(RegexExtract('Run1'!B31, "\[.+\]"), "\:[0-9A-F]+"), ":","0x")</f>
        <v>0x020110CC</v>
      </c>
      <c r="C31" s="1" t="str">
        <f xml:space="preserve"> SUBSTITUTE(RegexExtract(RegexExtract('Run1'!C31, "\[.+\]"), "\:[0-9A-F]+"), ":","0x")</f>
        <v>0x02000B48</v>
      </c>
      <c r="D31" s="1" t="str">
        <f xml:space="preserve"> SUBSTITUTE(RegexExtract(RegexExtract('Run1'!D31, "\[.+\]"), "\:[0-9A-F]+"), ":","0x")</f>
        <v>0x000134AA</v>
      </c>
    </row>
    <row r="32" spans="1:4" x14ac:dyDescent="0.25">
      <c r="A32">
        <v>33624251</v>
      </c>
      <c r="B32" s="1" t="str">
        <f xml:space="preserve"> SUBSTITUTE(RegexExtract(RegexExtract('Run1'!B32, "\[.+\]"), "\:[0-9A-F]+"), ":","0x")</f>
        <v>0x020110BB</v>
      </c>
      <c r="C32" s="1" t="str">
        <f xml:space="preserve"> SUBSTITUTE(RegexExtract(RegexExtract('Run1'!C32, "\[.+\]"), "\:[0-9A-F]+"), ":","0x")</f>
        <v>0x02000B30</v>
      </c>
      <c r="D32" s="1" t="str">
        <f xml:space="preserve"> SUBSTITUTE(RegexExtract(RegexExtract('Run1'!D32, "\[.+\]"), "\:[0-9A-F]+"), ":","0x")</f>
        <v>0x0003F7F8</v>
      </c>
    </row>
    <row r="33" spans="1:4" x14ac:dyDescent="0.25">
      <c r="A33">
        <v>33624269</v>
      </c>
      <c r="B33" s="1" t="str">
        <f xml:space="preserve"> SUBSTITUTE(RegexExtract(RegexExtract('Run1'!B33, "\[.+\]"), "\:[0-9A-F]+"), ":","0x")</f>
        <v>0x020110CD</v>
      </c>
      <c r="C33" s="1" t="str">
        <f xml:space="preserve"> SUBSTITUTE(RegexExtract(RegexExtract('Run1'!C33, "\[.+\]"), "\:[0-9A-F]+"), ":","0x")</f>
        <v>0x02000B49</v>
      </c>
      <c r="D33" s="1" t="str">
        <f xml:space="preserve"> SUBSTITUTE(RegexExtract(RegexExtract('Run1'!D33, "\[.+\]"), "\:[0-9A-F]+"), ":","0x")</f>
        <v>0x0004B0BA</v>
      </c>
    </row>
    <row r="34" spans="1:4" x14ac:dyDescent="0.25">
      <c r="A34">
        <v>33624260</v>
      </c>
      <c r="B34" s="1" t="str">
        <f xml:space="preserve"> SUBSTITUTE(RegexExtract(RegexExtract('Run1'!B34, "\[.+\]"), "\:[0-9A-F]+"), ":","0x")</f>
        <v>0x020110C4</v>
      </c>
      <c r="C34" s="1" t="str">
        <f xml:space="preserve"> SUBSTITUTE(RegexExtract(RegexExtract('Run1'!C34, "\[.+\]"), "\:[0-9A-F]+"), ":","0x")</f>
        <v>0x02000B40</v>
      </c>
      <c r="D34" s="1" t="str">
        <f xml:space="preserve"> SUBSTITUTE(RegexExtract(RegexExtract('Run1'!D34, "\[.+\]"), "\:[0-9A-F]+"), ":","0x")</f>
        <v>0x0004DA22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Cooper</dc:creator>
  <cp:lastModifiedBy>Daniel Cooper</cp:lastModifiedBy>
  <dcterms:created xsi:type="dcterms:W3CDTF">2018-02-20T18:25:36Z</dcterms:created>
  <dcterms:modified xsi:type="dcterms:W3CDTF">2018-02-20T20:11:48Z</dcterms:modified>
</cp:coreProperties>
</file>